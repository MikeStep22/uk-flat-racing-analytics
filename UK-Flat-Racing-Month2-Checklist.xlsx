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 2 Checklist" sheetId="1" state="visible" r:id="rId3"/>
  </sheets>
  <definedNames>
    <definedName function="false" hidden="false" localSheetId="0" name="_xlnm.Print_Titles" vbProcedure="false">'Month 2 Checklist'!$1:$6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<sst xmlns="http://schemas.openxmlformats.org/spreadsheetml/2006/main" count="120" uniqueCount="88">
  <si>
    <t xml:space="preserve">Month 2 — Semantic Web Fundamentals: RDF, OWL &amp; SPARQL</t>
  </si>
  <si>
    <t xml:space="preserve">UK Flat Racing Ontology Project — detailed checklist, ~3–5 hrs/week over 4 weeks</t>
  </si>
  <si>
    <t xml:space="preserve">Legend: set "Done" to Yes as you finish each task. This is a look-ahead — nothing here is expected to be complete yet; Month 1 finishes first.</t>
  </si>
  <si>
    <t xml:space="preserve">Progress:</t>
  </si>
  <si>
    <t xml:space="preserve">of</t>
  </si>
  <si>
    <t xml:space="preserve">tasks done  |  Est. hours:</t>
  </si>
  <si>
    <t xml:space="preserve">hrs (~12–20 target)</t>
  </si>
  <si>
    <t xml:space="preserve">Week</t>
  </si>
  <si>
    <t xml:space="preserve">#</t>
  </si>
  <si>
    <t xml:space="preserve">Activity</t>
  </si>
  <si>
    <t xml:space="preserve">Details</t>
  </si>
  <si>
    <t xml:space="preserve">Est. Hrs</t>
  </si>
  <si>
    <t xml:space="preserve">Done</t>
  </si>
  <si>
    <t xml:space="preserve">Notes / Resources</t>
  </si>
  <si>
    <t xml:space="preserve">Week 1</t>
  </si>
  <si>
    <t xml:space="preserve">Learn: what is an RDF triple</t>
  </si>
  <si>
    <t xml:space="preserve">Note in your own words: subject–predicate–object, and how it's just a sentence about one fact.</t>
  </si>
  <si>
    <t xml:space="preserve">No</t>
  </si>
  <si>
    <t xml:space="preserve">Learn: URIs, prefixes &amp; namespaces</t>
  </si>
  <si>
    <t xml:space="preserve">Note what a URI is and why ex:Frankel is shorthand for a full web address.</t>
  </si>
  <si>
    <t xml:space="preserve">Work through Jena's RDF/SPARQL tutorial (intro)</t>
  </si>
  <si>
    <t xml:space="preserve">Read the intro and triples sections — no coding needed yet, just the concepts.</t>
  </si>
  <si>
    <t xml:space="preserve">https://jena.apache.org/tutorials/</t>
  </si>
  <si>
    <t xml:space="preserve">Learn: classes, instances &amp; properties</t>
  </si>
  <si>
    <t xml:space="preserve">Note the difference: Horse is a class, Frankel is an instance, hasSire is a property.</t>
  </si>
  <si>
    <t xml:space="preserve">Explore the Wikidata Query Service</t>
  </si>
  <si>
    <t xml:space="preserve">Open the tool and run its built-in example query to see SPARQL results render.</t>
  </si>
  <si>
    <t xml:space="preserve">https://query.wikidata.org/</t>
  </si>
  <si>
    <t xml:space="preserve">Learn basic SPARQL syntax</t>
  </si>
  <si>
    <t xml:space="preserve">Note what SELECT, WHERE and a prefix line each do in a query.</t>
  </si>
  <si>
    <t xml:space="preserve">https://jena.apache.org/tutorials/sparql.html</t>
  </si>
  <si>
    <t xml:space="preserve">Run a SPARQL query against Wikidata for a real racehorse</t>
  </si>
  <si>
    <t xml:space="preserve">Ask Claude to help write a query for a well-known horse's sire/dam; run it in the Query Service.</t>
  </si>
  <si>
    <t xml:space="preserve">Checkpoint: write one of your CSV rows as a triple</t>
  </si>
  <si>
    <t xml:space="preserve">Take one row from group1_results_2026.csv and write it out as subject–predicate–object, by hand.</t>
  </si>
  <si>
    <t xml:space="preserve">Week 2</t>
  </si>
  <si>
    <t xml:space="preserve">Install Protégé and work through its quickstart tutorial</t>
  </si>
  <si>
    <t xml:space="preserve">Download from protege.stanford.edu; follow the "Pizza" quickstart to learn the interface.</t>
  </si>
  <si>
    <t xml:space="preserve">https://protege.stanford.edu/</t>
  </si>
  <si>
    <t xml:space="preserve">Sketch your ontology's classes on paper</t>
  </si>
  <si>
    <t xml:space="preserve">Draw boxes for: Horse, Race, Racecourse, RaceEntry, Jockey, Trainer, and how they connect.</t>
  </si>
  <si>
    <t xml:space="preserve">Create the 6 core classes in Protégé</t>
  </si>
  <si>
    <t xml:space="preserve">Add Horse, Race, Racecourse, RaceEntry, Jockey, Trainer as OWL classes.</t>
  </si>
  <si>
    <t xml:space="preserve">Add hasSire / hasDam object properties</t>
  </si>
  <si>
    <t xml:space="preserve">Define these as relationships between two Horse individuals.</t>
  </si>
  <si>
    <t xml:space="preserve">Add RaceEntry relationships</t>
  </si>
  <si>
    <t xml:space="preserve">ofHorse, inRace, riddenBy, trainedBy — RaceEntry is where result/position will live.</t>
  </si>
  <si>
    <t xml:space="preserve">Add data properties on Race</t>
  </si>
  <si>
    <t xml:space="preserve">hasDistance, hasGoing, hasClass — literal values rather than links to other classes.</t>
  </si>
  <si>
    <t xml:space="preserve">Save the ontology file and export a diagram</t>
  </si>
  <si>
    <t xml:space="preserve">Protégé can export an OntoGraf image — useful for the wall next to your architecture slides.</t>
  </si>
  <si>
    <t xml:space="preserve">Checkpoint: object property vs data property</t>
  </si>
  <si>
    <t xml:space="preserve">Explain the difference in your own words, using an example from your own ontology.</t>
  </si>
  <si>
    <t xml:space="preserve">Week 3</t>
  </si>
  <si>
    <t xml:space="preserve">Install Apache Jena Fuseki (or set up RDFLib as a lighter start)</t>
  </si>
  <si>
    <t xml:space="preserve">Fuseki gives a real local SPARQL endpoint; RDFLib is a lighter Python-only alternative if you'd rather skip a server for now.</t>
  </si>
  <si>
    <t xml:space="preserve">https://jena.apache.org/documentation/fuseki2/</t>
  </si>
  <si>
    <t xml:space="preserve">Convert Month 1 CSV rows into RDF triples</t>
  </si>
  <si>
    <t xml:space="preserve">Ask Claude to write a script that turns group1_results_2026.csv into triples using your ontology.</t>
  </si>
  <si>
    <t xml:space="preserve">Load the generated triples into Fuseki / RDFLib</t>
  </si>
  <si>
    <t xml:space="preserve">Get your seed dataset into the triple store as real, queryable data.</t>
  </si>
  <si>
    <t xml:space="preserve">Confirm the data loaded</t>
  </si>
  <si>
    <t xml:space="preserve">Run a simple "list all races" SPARQL query and check the count matches your CSV.</t>
  </si>
  <si>
    <t xml:space="preserve">Write &amp; run SPARQL query 1</t>
  </si>
  <si>
    <t xml:space="preserve">All races at a given course.</t>
  </si>
  <si>
    <t xml:space="preserve">Write &amp; run SPARQL query 2</t>
  </si>
  <si>
    <t xml:space="preserve">All races over 10+ furlongs.</t>
  </si>
  <si>
    <t xml:space="preserve">Write &amp; run SPARQL query 3</t>
  </si>
  <si>
    <t xml:space="preserve">A question of your own choosing about your data.</t>
  </si>
  <si>
    <t xml:space="preserve">Checkpoint: write a new SPARQL query from scratch</t>
  </si>
  <si>
    <t xml:space="preserve">No template this time — answer a question about your data you haven't asked yet.</t>
  </si>
  <si>
    <t xml:space="preserve">Week 4</t>
  </si>
  <si>
    <t xml:space="preserve">Write 2 more SPARQL queries</t>
  </si>
  <si>
    <t xml:space="preserve">Round out to 5–10 total queries against your own knowledge graph, per the plan's Month 2 deliverable.</t>
  </si>
  <si>
    <t xml:space="preserve">Document your ontology in a short README</t>
  </si>
  <si>
    <t xml:space="preserve">Classes, relationships, and why each exists — future-you will thank present-you.</t>
  </si>
  <si>
    <t xml:space="preserve">Commit and push everything to GitHub</t>
  </si>
  <si>
    <t xml:space="preserve">Ontology file, exported diagram, SPARQL queries, and any new/updated scripts.</t>
  </si>
  <si>
    <t xml:space="preserve">Export your Protégé ontology diagram as an image</t>
  </si>
  <si>
    <t xml:space="preserve">For your own reference, and optionally to add to the wall print-outs.</t>
  </si>
  <si>
    <t xml:space="preserve">Save a "Month 2 snapshot"</t>
  </si>
  <si>
    <t xml:space="preserve">Screenshot one query and its results as a record of where things stood.</t>
  </si>
  <si>
    <t xml:space="preserve">Reflect</t>
  </si>
  <si>
    <t xml:space="preserve">Short note: what was confusing this month, what clicked, what you want Month 3 to answer.</t>
  </si>
  <si>
    <t xml:space="preserve">Preview Month 3</t>
  </si>
  <si>
    <t xml:space="preserve">Skim what an ETL pipeline is and how pandas fits between raw data and triples — just enough vocabulary ahead of time.</t>
  </si>
  <si>
    <t xml:space="preserve">Checkpoint (Month 2 success criterion)</t>
  </si>
  <si>
    <t xml:space="preserve">Can you write a SPARQL query from scratch to answer a brand-new question, without copying a template?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</si>
</sst>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0F6B7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155C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0FB"/>
        <bgColor rgb="FFE4F7EF"/>
      </patternFill>
    </fill>
    <fill>
      <patternFill patternType="solid">
        <fgColor rgb="FFFDECE3"/>
        <bgColor rgb="FFFDF1DA"/>
      </patternFill>
    </fill>
    <fill>
      <patternFill patternType="solid">
        <fgColor rgb="FFE4F7EF"/>
        <bgColor rgb="FFE7F0FB"/>
      </patternFill>
    </fill>
    <fill>
      <patternFill patternType="solid">
        <fgColor rgb="FFFDF1DA"/>
        <bgColor rgb="FFFDEC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F6B72"/>
      <rgbColor rgb="FFC0C0C0"/>
      <rgbColor rgb="FF808080"/>
      <rgbColor rgb="FF9999FF"/>
      <rgbColor rgb="FF993366"/>
      <rgbColor rgb="FFFDF1DA"/>
      <rgbColor rgb="FFE4F7E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FB"/>
      <rgbColor rgb="FFC6EFCE"/>
      <rgbColor rgb="FFFDEC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5" t="n">
        <f aca="false">COUNTIF(F7:F38,"Yes")</f>
        <v>0</v>
      </c>
      <c r="C4" s="4" t="s">
        <v>4</v>
      </c>
      <c r="D4" s="5" t="n">
        <f aca="false">COUNTA(C7:C38)</f>
        <v>32</v>
      </c>
      <c r="E4" s="4" t="s">
        <v>5</v>
      </c>
      <c r="F4" s="5" t="n">
        <f aca="false">SUM(E7:E38)</f>
        <v>17</v>
      </c>
      <c r="G4" s="4" t="s">
        <v>6</v>
      </c>
    </row>
    <row r="5" customFormat="false" ht="6" hidden="false" customHeight="true" outlineLevel="0" collapsed="false"/>
    <row r="6" customFormat="false" ht="19.5" hidden="false" customHeight="true" outlineLevel="0" collapsed="false">
      <c r="A6" s="6" t="s">
        <v>7</v>
      </c>
      <c r="B6" s="6" t="s">
        <v>8</v>
      </c>
      <c r="C6" s="7" t="s">
        <v>9</v>
      </c>
      <c r="D6" s="7" t="s">
        <v>10</v>
      </c>
      <c r="E6" s="6" t="s">
        <v>11</v>
      </c>
      <c r="F6" s="6" t="s">
        <v>12</v>
      </c>
      <c r="G6" s="7" t="s">
        <v>13</v>
      </c>
    </row>
    <row r="7" customFormat="false" ht="30" hidden="false" customHeight="true" outlineLevel="0" collapsed="false">
      <c r="A7" s="8" t="s">
        <v>14</v>
      </c>
      <c r="B7" s="9" t="n">
        <v>1</v>
      </c>
      <c r="C7" s="10" t="s">
        <v>15</v>
      </c>
      <c r="D7" s="11" t="s">
        <v>16</v>
      </c>
      <c r="E7" s="12" t="n">
        <v>0.25</v>
      </c>
      <c r="F7" s="9" t="s">
        <v>17</v>
      </c>
      <c r="G7" s="13"/>
    </row>
    <row r="8" customFormat="false" ht="30" hidden="false" customHeight="true" outlineLevel="0" collapsed="false">
      <c r="A8" s="14"/>
      <c r="B8" s="9" t="n">
        <v>2</v>
      </c>
      <c r="C8" s="10" t="s">
        <v>18</v>
      </c>
      <c r="D8" s="11" t="s">
        <v>19</v>
      </c>
      <c r="E8" s="12" t="n">
        <v>0.25</v>
      </c>
      <c r="F8" s="9" t="s">
        <v>17</v>
      </c>
      <c r="G8" s="13"/>
    </row>
    <row r="9" customFormat="false" ht="30" hidden="false" customHeight="true" outlineLevel="0" collapsed="false">
      <c r="A9" s="14"/>
      <c r="B9" s="9" t="n">
        <v>3</v>
      </c>
      <c r="C9" s="10" t="s">
        <v>20</v>
      </c>
      <c r="D9" s="11" t="s">
        <v>21</v>
      </c>
      <c r="E9" s="12" t="n">
        <v>1.5</v>
      </c>
      <c r="F9" s="9" t="s">
        <v>17</v>
      </c>
      <c r="G9" s="15" t="s">
        <v>22</v>
      </c>
    </row>
    <row r="10" customFormat="false" ht="30" hidden="false" customHeight="true" outlineLevel="0" collapsed="false">
      <c r="A10" s="14"/>
      <c r="B10" s="9" t="n">
        <v>4</v>
      </c>
      <c r="C10" s="10" t="s">
        <v>23</v>
      </c>
      <c r="D10" s="11" t="s">
        <v>24</v>
      </c>
      <c r="E10" s="12" t="n">
        <v>0.5</v>
      </c>
      <c r="F10" s="9" t="s">
        <v>17</v>
      </c>
      <c r="G10" s="13"/>
    </row>
    <row r="11" customFormat="false" ht="30" hidden="false" customHeight="true" outlineLevel="0" collapsed="false">
      <c r="A11" s="14"/>
      <c r="B11" s="9" t="n">
        <v>5</v>
      </c>
      <c r="C11" s="10" t="s">
        <v>25</v>
      </c>
      <c r="D11" s="11" t="s">
        <v>26</v>
      </c>
      <c r="E11" s="12" t="n">
        <v>0.5</v>
      </c>
      <c r="F11" s="9" t="s">
        <v>17</v>
      </c>
      <c r="G11" s="15" t="s">
        <v>27</v>
      </c>
    </row>
    <row r="12" customFormat="false" ht="30" hidden="false" customHeight="true" outlineLevel="0" collapsed="false">
      <c r="A12" s="14"/>
      <c r="B12" s="9" t="n">
        <v>6</v>
      </c>
      <c r="C12" s="10" t="s">
        <v>28</v>
      </c>
      <c r="D12" s="11" t="s">
        <v>29</v>
      </c>
      <c r="E12" s="12" t="n">
        <v>0.5</v>
      </c>
      <c r="F12" s="9" t="s">
        <v>17</v>
      </c>
      <c r="G12" s="15" t="s">
        <v>30</v>
      </c>
    </row>
    <row r="13" customFormat="false" ht="30" hidden="false" customHeight="true" outlineLevel="0" collapsed="false">
      <c r="A13" s="14"/>
      <c r="B13" s="9" t="n">
        <v>7</v>
      </c>
      <c r="C13" s="10" t="s">
        <v>31</v>
      </c>
      <c r="D13" s="11" t="s">
        <v>32</v>
      </c>
      <c r="E13" s="12" t="n">
        <v>0.5</v>
      </c>
      <c r="F13" s="9" t="s">
        <v>17</v>
      </c>
      <c r="G13" s="15" t="s">
        <v>27</v>
      </c>
    </row>
    <row r="14" customFormat="false" ht="30" hidden="false" customHeight="true" outlineLevel="0" collapsed="false">
      <c r="A14" s="14"/>
      <c r="B14" s="9" t="n">
        <v>8</v>
      </c>
      <c r="C14" s="10" t="s">
        <v>33</v>
      </c>
      <c r="D14" s="11" t="s">
        <v>34</v>
      </c>
      <c r="E14" s="12" t="n">
        <v>0.25</v>
      </c>
      <c r="F14" s="9" t="s">
        <v>17</v>
      </c>
      <c r="G14" s="13"/>
    </row>
    <row r="15" customFormat="false" ht="30" hidden="false" customHeight="true" outlineLevel="0" collapsed="false">
      <c r="A15" s="16" t="s">
        <v>35</v>
      </c>
      <c r="B15" s="17" t="n">
        <v>9</v>
      </c>
      <c r="C15" s="18" t="s">
        <v>36</v>
      </c>
      <c r="D15" s="19" t="s">
        <v>37</v>
      </c>
      <c r="E15" s="20" t="n">
        <v>1</v>
      </c>
      <c r="F15" s="17" t="s">
        <v>17</v>
      </c>
      <c r="G15" s="21" t="s">
        <v>38</v>
      </c>
    </row>
    <row r="16" customFormat="false" ht="30" hidden="false" customHeight="true" outlineLevel="0" collapsed="false">
      <c r="A16" s="22"/>
      <c r="B16" s="17" t="n">
        <v>10</v>
      </c>
      <c r="C16" s="18" t="s">
        <v>39</v>
      </c>
      <c r="D16" s="19" t="s">
        <v>40</v>
      </c>
      <c r="E16" s="20" t="n">
        <v>0.5</v>
      </c>
      <c r="F16" s="17" t="s">
        <v>17</v>
      </c>
      <c r="G16" s="23"/>
    </row>
    <row r="17" customFormat="false" ht="30" hidden="false" customHeight="true" outlineLevel="0" collapsed="false">
      <c r="A17" s="22"/>
      <c r="B17" s="17" t="n">
        <v>11</v>
      </c>
      <c r="C17" s="18" t="s">
        <v>41</v>
      </c>
      <c r="D17" s="19" t="s">
        <v>42</v>
      </c>
      <c r="E17" s="20" t="n">
        <v>0.5</v>
      </c>
      <c r="F17" s="17" t="s">
        <v>17</v>
      </c>
      <c r="G17" s="23"/>
    </row>
    <row r="18" customFormat="false" ht="30" hidden="false" customHeight="true" outlineLevel="0" collapsed="false">
      <c r="A18" s="22"/>
      <c r="B18" s="17" t="n">
        <v>12</v>
      </c>
      <c r="C18" s="18" t="s">
        <v>43</v>
      </c>
      <c r="D18" s="19" t="s">
        <v>44</v>
      </c>
      <c r="E18" s="20" t="n">
        <v>0.5</v>
      </c>
      <c r="F18" s="17" t="s">
        <v>17</v>
      </c>
      <c r="G18" s="23"/>
    </row>
    <row r="19" customFormat="false" ht="30" hidden="false" customHeight="true" outlineLevel="0" collapsed="false">
      <c r="A19" s="22"/>
      <c r="B19" s="17" t="n">
        <v>13</v>
      </c>
      <c r="C19" s="18" t="s">
        <v>45</v>
      </c>
      <c r="D19" s="19" t="s">
        <v>46</v>
      </c>
      <c r="E19" s="20" t="n">
        <v>0.5</v>
      </c>
      <c r="F19" s="17" t="s">
        <v>17</v>
      </c>
      <c r="G19" s="23"/>
    </row>
    <row r="20" customFormat="false" ht="30" hidden="false" customHeight="true" outlineLevel="0" collapsed="false">
      <c r="A20" s="22"/>
      <c r="B20" s="17" t="n">
        <v>14</v>
      </c>
      <c r="C20" s="18" t="s">
        <v>47</v>
      </c>
      <c r="D20" s="19" t="s">
        <v>48</v>
      </c>
      <c r="E20" s="20" t="n">
        <v>0.5</v>
      </c>
      <c r="F20" s="17" t="s">
        <v>17</v>
      </c>
      <c r="G20" s="23"/>
    </row>
    <row r="21" customFormat="false" ht="30" hidden="false" customHeight="true" outlineLevel="0" collapsed="false">
      <c r="A21" s="22"/>
      <c r="B21" s="17" t="n">
        <v>15</v>
      </c>
      <c r="C21" s="18" t="s">
        <v>49</v>
      </c>
      <c r="D21" s="19" t="s">
        <v>50</v>
      </c>
      <c r="E21" s="20" t="n">
        <v>0.25</v>
      </c>
      <c r="F21" s="17" t="s">
        <v>17</v>
      </c>
      <c r="G21" s="23"/>
    </row>
    <row r="22" customFormat="false" ht="30" hidden="false" customHeight="true" outlineLevel="0" collapsed="false">
      <c r="A22" s="22"/>
      <c r="B22" s="17" t="n">
        <v>16</v>
      </c>
      <c r="C22" s="18" t="s">
        <v>51</v>
      </c>
      <c r="D22" s="19" t="s">
        <v>52</v>
      </c>
      <c r="E22" s="20" t="n">
        <v>0.5</v>
      </c>
      <c r="F22" s="17" t="s">
        <v>17</v>
      </c>
      <c r="G22" s="23"/>
    </row>
    <row r="23" customFormat="false" ht="30" hidden="false" customHeight="true" outlineLevel="0" collapsed="false">
      <c r="A23" s="24" t="s">
        <v>53</v>
      </c>
      <c r="B23" s="25" t="n">
        <v>17</v>
      </c>
      <c r="C23" s="26" t="s">
        <v>54</v>
      </c>
      <c r="D23" s="27" t="s">
        <v>55</v>
      </c>
      <c r="E23" s="28" t="n">
        <v>0.5</v>
      </c>
      <c r="F23" s="25" t="s">
        <v>17</v>
      </c>
      <c r="G23" s="29" t="s">
        <v>56</v>
      </c>
    </row>
    <row r="24" customFormat="false" ht="30" hidden="false" customHeight="true" outlineLevel="0" collapsed="false">
      <c r="A24" s="30"/>
      <c r="B24" s="25" t="n">
        <v>18</v>
      </c>
      <c r="C24" s="26" t="s">
        <v>57</v>
      </c>
      <c r="D24" s="27" t="s">
        <v>58</v>
      </c>
      <c r="E24" s="28" t="n">
        <v>1</v>
      </c>
      <c r="F24" s="25" t="s">
        <v>17</v>
      </c>
      <c r="G24" s="31"/>
    </row>
    <row r="25" customFormat="false" ht="30" hidden="false" customHeight="true" outlineLevel="0" collapsed="false">
      <c r="A25" s="30"/>
      <c r="B25" s="25" t="n">
        <v>19</v>
      </c>
      <c r="C25" s="26" t="s">
        <v>59</v>
      </c>
      <c r="D25" s="27" t="s">
        <v>60</v>
      </c>
      <c r="E25" s="28" t="n">
        <v>0.5</v>
      </c>
      <c r="F25" s="25" t="s">
        <v>17</v>
      </c>
      <c r="G25" s="31"/>
    </row>
    <row r="26" customFormat="false" ht="30" hidden="false" customHeight="true" outlineLevel="0" collapsed="false">
      <c r="A26" s="30"/>
      <c r="B26" s="25" t="n">
        <v>20</v>
      </c>
      <c r="C26" s="26" t="s">
        <v>61</v>
      </c>
      <c r="D26" s="27" t="s">
        <v>62</v>
      </c>
      <c r="E26" s="28" t="n">
        <v>0.25</v>
      </c>
      <c r="F26" s="25" t="s">
        <v>17</v>
      </c>
      <c r="G26" s="31"/>
    </row>
    <row r="27" customFormat="false" ht="30" hidden="false" customHeight="true" outlineLevel="0" collapsed="false">
      <c r="A27" s="30"/>
      <c r="B27" s="25" t="n">
        <v>21</v>
      </c>
      <c r="C27" s="26" t="s">
        <v>63</v>
      </c>
      <c r="D27" s="27" t="s">
        <v>64</v>
      </c>
      <c r="E27" s="28" t="n">
        <v>0.5</v>
      </c>
      <c r="F27" s="25" t="s">
        <v>17</v>
      </c>
      <c r="G27" s="31"/>
    </row>
    <row r="28" customFormat="false" ht="30" hidden="false" customHeight="true" outlineLevel="0" collapsed="false">
      <c r="A28" s="30"/>
      <c r="B28" s="25" t="n">
        <v>22</v>
      </c>
      <c r="C28" s="26" t="s">
        <v>65</v>
      </c>
      <c r="D28" s="27" t="s">
        <v>66</v>
      </c>
      <c r="E28" s="28" t="n">
        <v>0.5</v>
      </c>
      <c r="F28" s="25" t="s">
        <v>17</v>
      </c>
      <c r="G28" s="31"/>
    </row>
    <row r="29" customFormat="false" ht="30" hidden="false" customHeight="true" outlineLevel="0" collapsed="false">
      <c r="A29" s="30"/>
      <c r="B29" s="25" t="n">
        <v>23</v>
      </c>
      <c r="C29" s="26" t="s">
        <v>67</v>
      </c>
      <c r="D29" s="27" t="s">
        <v>68</v>
      </c>
      <c r="E29" s="28" t="n">
        <v>0.5</v>
      </c>
      <c r="F29" s="25" t="s">
        <v>17</v>
      </c>
      <c r="G29" s="31"/>
    </row>
    <row r="30" customFormat="false" ht="30" hidden="false" customHeight="true" outlineLevel="0" collapsed="false">
      <c r="A30" s="30"/>
      <c r="B30" s="25" t="n">
        <v>24</v>
      </c>
      <c r="C30" s="26" t="s">
        <v>69</v>
      </c>
      <c r="D30" s="27" t="s">
        <v>70</v>
      </c>
      <c r="E30" s="28" t="n">
        <v>0.5</v>
      </c>
      <c r="F30" s="25" t="s">
        <v>17</v>
      </c>
      <c r="G30" s="31"/>
    </row>
    <row r="31" customFormat="false" ht="30" hidden="false" customHeight="true" outlineLevel="0" collapsed="false">
      <c r="A31" s="32" t="s">
        <v>71</v>
      </c>
      <c r="B31" s="33" t="n">
        <v>25</v>
      </c>
      <c r="C31" s="34" t="s">
        <v>72</v>
      </c>
      <c r="D31" s="35" t="s">
        <v>73</v>
      </c>
      <c r="E31" s="36" t="n">
        <v>1</v>
      </c>
      <c r="F31" s="33" t="s">
        <v>17</v>
      </c>
      <c r="G31" s="37"/>
    </row>
    <row r="32" customFormat="false" ht="30" hidden="false" customHeight="true" outlineLevel="0" collapsed="false">
      <c r="A32" s="38"/>
      <c r="B32" s="33" t="n">
        <v>26</v>
      </c>
      <c r="C32" s="34" t="s">
        <v>74</v>
      </c>
      <c r="D32" s="35" t="s">
        <v>75</v>
      </c>
      <c r="E32" s="36" t="n">
        <v>0.75</v>
      </c>
      <c r="F32" s="33" t="s">
        <v>17</v>
      </c>
      <c r="G32" s="37"/>
    </row>
    <row r="33" customFormat="false" ht="30" hidden="false" customHeight="true" outlineLevel="0" collapsed="false">
      <c r="A33" s="38"/>
      <c r="B33" s="33" t="n">
        <v>27</v>
      </c>
      <c r="C33" s="34" t="s">
        <v>76</v>
      </c>
      <c r="D33" s="35" t="s">
        <v>77</v>
      </c>
      <c r="E33" s="36" t="n">
        <v>0.25</v>
      </c>
      <c r="F33" s="33" t="s">
        <v>17</v>
      </c>
      <c r="G33" s="37"/>
    </row>
    <row r="34" customFormat="false" ht="30" hidden="false" customHeight="true" outlineLevel="0" collapsed="false">
      <c r="A34" s="38"/>
      <c r="B34" s="33" t="n">
        <v>28</v>
      </c>
      <c r="C34" s="34" t="s">
        <v>78</v>
      </c>
      <c r="D34" s="35" t="s">
        <v>79</v>
      </c>
      <c r="E34" s="36" t="n">
        <v>0.25</v>
      </c>
      <c r="F34" s="33" t="s">
        <v>17</v>
      </c>
      <c r="G34" s="37"/>
    </row>
    <row r="35" customFormat="false" ht="30" hidden="false" customHeight="true" outlineLevel="0" collapsed="false">
      <c r="A35" s="38"/>
      <c r="B35" s="33" t="n">
        <v>29</v>
      </c>
      <c r="C35" s="34" t="s">
        <v>80</v>
      </c>
      <c r="D35" s="35" t="s">
        <v>81</v>
      </c>
      <c r="E35" s="36" t="n">
        <v>0.25</v>
      </c>
      <c r="F35" s="33" t="s">
        <v>17</v>
      </c>
      <c r="G35" s="37"/>
    </row>
    <row r="36" customFormat="false" ht="30" hidden="false" customHeight="true" outlineLevel="0" collapsed="false">
      <c r="A36" s="38"/>
      <c r="B36" s="33" t="n">
        <v>30</v>
      </c>
      <c r="C36" s="34" t="s">
        <v>82</v>
      </c>
      <c r="D36" s="35" t="s">
        <v>83</v>
      </c>
      <c r="E36" s="36" t="n">
        <v>0.5</v>
      </c>
      <c r="F36" s="33" t="s">
        <v>17</v>
      </c>
      <c r="G36" s="37"/>
    </row>
    <row r="37" customFormat="false" ht="30" hidden="false" customHeight="true" outlineLevel="0" collapsed="false">
      <c r="A37" s="38"/>
      <c r="B37" s="33" t="n">
        <v>31</v>
      </c>
      <c r="C37" s="34" t="s">
        <v>84</v>
      </c>
      <c r="D37" s="35" t="s">
        <v>85</v>
      </c>
      <c r="E37" s="36" t="n">
        <v>0.75</v>
      </c>
      <c r="F37" s="33" t="s">
        <v>17</v>
      </c>
      <c r="G37" s="37"/>
    </row>
    <row r="38" customFormat="false" ht="30" hidden="false" customHeight="true" outlineLevel="0" collapsed="false">
      <c r="A38" s="38"/>
      <c r="B38" s="33" t="n">
        <v>32</v>
      </c>
      <c r="C38" s="34" t="s">
        <v>86</v>
      </c>
      <c r="D38" s="35" t="s">
        <v>87</v>
      </c>
      <c r="E38" s="36" t="n">
        <v>0.5</v>
      </c>
      <c r="F38" s="33" t="s">
        <v>17</v>
      </c>
      <c r="G38" s="37"/>
    </row>
  </sheetData>
  <mergeCells count="3">
    <mergeCell ref="A1:G1"/>
    <mergeCell ref="A2:G2"/>
    <mergeCell ref="A3:G3"/>
  </mergeCells>
  <conditionalFormatting sqref="A7:G38">
    <cfRule type="expression" priority="2" aboveAverage="0" equalAverage="0" bottom="0" percent="0" rank="0" text="" dxfId="0">
      <formula>$F7="Yes"</formula>
    </cfRule>
  </conditionalFormatting>
  <dataValidations count="1">
    <dataValidation allowBlank="false" errorStyle="stop" operator="between" showDropDown="false" showErrorMessage="false" showInputMessage="false" sqref="F7:F38" type="list">
      <formula1>"Yes,No"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2026-09-27T14:38:43Z</dcterms:created>
  <dc:creator>openpyxl</dc:creator>
  <dc:description/>
  <dc:language>en-US</dc:language>
  <cp:lastModifiedBy/>
  <dcterms:modified xsi:type="dcterms:W3CDTF">2026-09-27T14:38:43Z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