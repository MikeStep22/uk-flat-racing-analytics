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 1 Checklist" sheetId="1" state="visible" r:id="rId3"/>
  </sheets>
  <definedNames>
    <definedName function="false" hidden="false" localSheetId="0" name="_xlnm.Print_Titles" vbProcedure="false">'Month 1 Checklist'!$6:$6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<sst xmlns="http://schemas.openxmlformats.org/spreadsheetml/2006/main" count="131" uniqueCount="97">
  <si>
    <t xml:space="preserve">Month 1 — Foundations: Vibe Coding, Domain Literacy &amp; First Dataset</t>
  </si>
  <si>
    <t xml:space="preserve">UK Flat Racing Ontology Project — detailed checklist, ~3–5 hrs/week over 4 weeks</t>
  </si>
  <si>
    <t xml:space="preserve">Legend: set "Done" to Yes as you finish each task. Rows already marked Yes reflect what's been completed together in this project so far.</t>
  </si>
  <si>
    <t xml:space="preserve">Progress:</t>
  </si>
  <si>
    <t xml:space="preserve">of</t>
  </si>
  <si>
    <t xml:space="preserve">tasks done  |  Est. hours:</t>
  </si>
  <si>
    <t xml:space="preserve">hrs (~12–20 target)</t>
  </si>
  <si>
    <t xml:space="preserve">Week</t>
  </si>
  <si>
    <t xml:space="preserve">#</t>
  </si>
  <si>
    <t xml:space="preserve">Activity</t>
  </si>
  <si>
    <t xml:space="preserve">Details</t>
  </si>
  <si>
    <t xml:space="preserve">Est. Hrs</t>
  </si>
  <si>
    <t xml:space="preserve">Done</t>
  </si>
  <si>
    <t xml:space="preserve">Notes / Resources</t>
  </si>
  <si>
    <t xml:space="preserve">Week 1</t>
  </si>
  <si>
    <t xml:space="preserve">Install Python 3 (Windows)</t>
  </si>
  <si>
    <t xml:space="preserve">Download from python.org and run the installer — tick "Add python.exe to PATH" before installing.</t>
  </si>
  <si>
    <t xml:space="preserve">Yes</t>
  </si>
  <si>
    <t xml:space="preserve">python.org/downloads</t>
  </si>
  <si>
    <t xml:space="preserve">Install VS Code</t>
  </si>
  <si>
    <t xml:space="preserve">Download and install with default settings.</t>
  </si>
  <si>
    <t xml:space="preserve">code.visualstudio.com</t>
  </si>
  <si>
    <t xml:space="preserve">Confirm Python works from a terminal</t>
  </si>
  <si>
    <t xml:space="preserve">Open a terminal and run: python --version — should print a version number, not an error.</t>
  </si>
  <si>
    <t xml:space="preserve">Install the Claude Code extension in VS Code</t>
  </si>
  <si>
    <t xml:space="preserve">Ctrl+Shift+X to open Extensions, search "Claude Code" (publisher: Anthropic), click Install.</t>
  </si>
  <si>
    <t xml:space="preserve">code.claude.com/docs/en/vs-code</t>
  </si>
  <si>
    <t xml:space="preserve">Sign in to Claude Code</t>
  </si>
  <si>
    <t xml:space="preserve">Click the ✱ spark icon, then Sign in, and complete login in your browser.</t>
  </si>
  <si>
    <t xml:space="preserve">Open the racing_project folder in VS Code</t>
  </si>
  <si>
    <t xml:space="preserve">File → Open Folder, select the racing_project folder.</t>
  </si>
  <si>
    <t xml:space="preserve">Run group1_winners.py successfully</t>
  </si>
  <si>
    <t xml:space="preserve">Open the file, click the ▷ Run button, confirm the results print in the terminal panel.</t>
  </si>
  <si>
    <t xml:space="preserve">Ask Claude to explain the script</t>
  </si>
  <si>
    <t xml:space="preserve">In the Claude Code panel, ask: "explain what group1_winners.py does" — confirms the panel is wired up end to end.</t>
  </si>
  <si>
    <t xml:space="preserve">Install Git for Windows</t>
  </si>
  <si>
    <t xml:space="preserve">git-scm.com</t>
  </si>
  <si>
    <t xml:space="preserve">Create a GitHub account</t>
  </si>
  <si>
    <t xml:space="preserve">Skip if you already have one.</t>
  </si>
  <si>
    <t xml:space="preserve">github.com</t>
  </si>
  <si>
    <t xml:space="preserve">Configure Git with your name &amp; email</t>
  </si>
  <si>
    <t xml:space="preserve">git config --global user.name "..."  /  git config --global user.email "..."</t>
  </si>
  <si>
    <t xml:space="preserve">Initialise a git repository</t>
  </si>
  <si>
    <t xml:space="preserve">Run: git init  inside the racing_project folder.</t>
  </si>
  <si>
    <t xml:space="preserve">Create a .gitignore</t>
  </si>
  <si>
    <t xml:space="preserve">Ask Claude to generate a sensible Python .gitignore for this project.</t>
  </si>
  <si>
    <t xml:space="preserve">Make your first commit</t>
  </si>
  <si>
    <t xml:space="preserve">git add .  then  git commit -m "Initial commit: Group 1 winners script + data"</t>
  </si>
  <si>
    <t xml:space="preserve">Create a GitHub repository</t>
  </si>
  <si>
    <t xml:space="preserve">e.g. uk-flat-racing-analytics — create it empty, no README, on github.com.</t>
  </si>
  <si>
    <t xml:space="preserve">github.com/new</t>
  </si>
  <si>
    <t xml:space="preserve">Connect and push to GitHub</t>
  </si>
  <si>
    <t xml:space="preserve">git remote add origin &lt;url&gt;  then  git push -u origin main</t>
  </si>
  <si>
    <t xml:space="preserve">Week 2</t>
  </si>
  <si>
    <t xml:space="preserve">Write the first script (winners + favourites)</t>
  </si>
  <si>
    <t xml:space="preserve">Store a handful of Group 1 winners and print which started favourite.</t>
  </si>
  <si>
    <t xml:space="preserve">Practice the vibe-coding loop again</t>
  </si>
  <si>
    <t xml:space="preserve">Ask Claude for one variation, e.g. "print only the upsets" — reinforce ask → check → refine.</t>
  </si>
  <si>
    <t xml:space="preserve">Learn: race grades</t>
  </si>
  <si>
    <t xml:space="preserve">Note in your own words: Group 1 / 2 / 3 vs Listed vs Class 1–7 handicaps.</t>
  </si>
  <si>
    <t xml:space="preserve">britishhorseracing.com/regulation/glossary-of-race-types/</t>
  </si>
  <si>
    <t xml:space="preserve">Learn: race distances</t>
  </si>
  <si>
    <t xml:space="preserve">Note what furlongs are and roughly how many make up a mile.</t>
  </si>
  <si>
    <t xml:space="preserve">Learn: the "going"</t>
  </si>
  <si>
    <t xml:space="preserve">Note the going scale: heavy → soft → good to soft → good → good to firm → firm, and why it matters.</t>
  </si>
  <si>
    <t xml:space="preserve">Learn: the flat season calendar</t>
  </si>
  <si>
    <t xml:space="preserve">Note the season's span and the big fixtures in order: Guineas, Derby/Oaks, Royal Ascot, July meeting, Glorious Goodwood, Ebor, St Leger, Champions Day.</t>
  </si>
  <si>
    <t xml:space="preserve">Learn: form figures</t>
  </si>
  <si>
    <t xml:space="preserve">Note how to read a form line, e.g. "2-1310".</t>
  </si>
  <si>
    <t xml:space="preserve">Checkpoint write-up</t>
  </si>
  <si>
    <t xml:space="preserve">In your own words: what is a Group 1 race, and why is it the right population for this project?</t>
  </si>
  <si>
    <t xml:space="preserve">Week 3</t>
  </si>
  <si>
    <t xml:space="preserve">Split data out of the script</t>
  </si>
  <si>
    <t xml:space="preserve">Move race results into data/group1_results_2026.csv so updates never require touching code.</t>
  </si>
  <si>
    <t xml:space="preserve">Extend the dataset toward ~20–30 races</t>
  </si>
  <si>
    <t xml:space="preserve">Currently at 27 completed 2026 Group 1 races.</t>
  </si>
  <si>
    <t xml:space="preserve">thestatsdontlie.com/horse-racing/flat/group-1/</t>
  </si>
  <si>
    <t xml:space="preserve">Decide the dataset's scope going forward</t>
  </si>
  <si>
    <t xml:space="preserve">2026-only, or also pull in 2025 for a bigger sample? Note your decision and why.</t>
  </si>
  <si>
    <t xml:space="preserve">Add placeholder columns for later</t>
  </si>
  <si>
    <t xml:space="preserve">Add distance, going, and number of runners to the CSV — can stay blank for now, saves rework in month 3.</t>
  </si>
  <si>
    <t xml:space="preserve">Spot-check the data</t>
  </si>
  <si>
    <t xml:space="preserve">Pick 5 random rows and verify them against a results source — build the habit of checking data, not trusting it.</t>
  </si>
  <si>
    <t xml:space="preserve">Add an "add one new race" helper</t>
  </si>
  <si>
    <t xml:space="preserve">Ask Claude to write a small function so the CSV can be updated without hand-editing it.</t>
  </si>
  <si>
    <t xml:space="preserve">Week 4</t>
  </si>
  <si>
    <t xml:space="preserve">Write a README.md</t>
  </si>
  <si>
    <t xml:space="preserve">What the project is, how to run group1_winners.py, and where the data comes from.</t>
  </si>
  <si>
    <t xml:space="preserve">No</t>
  </si>
  <si>
    <t xml:space="preserve">Commit and push everything</t>
  </si>
  <si>
    <t xml:space="preserve">README, current CSV, and all scripts.</t>
  </si>
  <si>
    <t xml:space="preserve">Save a month 1 snapshot</t>
  </si>
  <si>
    <t xml:space="preserve">Re-run group1_winners.py one final time and save/screenshot the output.</t>
  </si>
  <si>
    <t xml:space="preserve">Reflect</t>
  </si>
  <si>
    <t xml:space="preserve">Short note: what was confusing this month, what clicked, what you want month 2 to answer.</t>
  </si>
  <si>
    <t xml:space="preserve">Preview month 2</t>
  </si>
  <si>
    <t xml:space="preserve">Skim one beginner RDF/SPARQL explainer — just enough to recognise the vocabulary before month 2 starts.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</si>
</sst>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.5"/>
      <color rgb="FF52514E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B0B0B"/>
      <name val="Arial"/>
      <family val="0"/>
      <charset val="1"/>
    </font>
    <font>
      <sz val="10"/>
      <color rgb="FF52514E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B0B0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FEDFB"/>
        <bgColor rgb="FFE7F0FB"/>
      </patternFill>
    </fill>
    <fill>
      <patternFill patternType="solid">
        <fgColor rgb="FFE7F0FB"/>
        <bgColor rgb="FFEFEDFB"/>
      </patternFill>
    </fill>
    <fill>
      <patternFill patternType="solid">
        <fgColor rgb="FFE4F7EF"/>
        <bgColor rgb="FFE7F0FB"/>
      </patternFill>
    </fill>
    <fill>
      <patternFill patternType="solid">
        <fgColor rgb="FFFDF1DA"/>
        <bgColor rgb="FFEFED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6"/>
      </left>
      <right style="thin">
        <color rgb="FFD9D9D6"/>
      </right>
      <top style="thin">
        <color rgb="FFD9D9D6"/>
      </top>
      <bottom style="thin">
        <color rgb="FFD9D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9F2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1DA"/>
      <rgbColor rgb="FFE4F7EF"/>
      <rgbColor rgb="FF660066"/>
      <rgbColor rgb="FFFF8080"/>
      <rgbColor rgb="FF0066CC"/>
      <rgbColor rgb="FFD9D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0FB"/>
      <rgbColor rgb="FFD9F2E3"/>
      <rgbColor rgb="FFEFEDF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B0B0B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F27" activeCellId="0" sqref="F27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"/>
    <col collapsed="false" customWidth="true" hidden="false" outlineLevel="0" max="3" min="3" style="1" width="42"/>
    <col collapsed="false" customWidth="true" hidden="false" outlineLevel="0" max="4" min="4" style="1" width="55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42"/>
  </cols>
  <sheetData>
    <row r="1" customFormat="false" ht="18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4.2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14.25" hidden="false" customHeight="true" outlineLevel="0" collapsed="false">
      <c r="A4" s="5" t="s">
        <v>3</v>
      </c>
      <c r="B4" s="6" t="n">
        <f aca="false">COUNTIF(F7:F41,"Yes")</f>
        <v>30</v>
      </c>
      <c r="C4" s="7" t="s">
        <v>4</v>
      </c>
      <c r="D4" s="6" t="n">
        <f aca="false">COUNTA(C7:C41)</f>
        <v>35</v>
      </c>
      <c r="E4" s="7" t="s">
        <v>5</v>
      </c>
      <c r="F4" s="8" t="n">
        <f aca="false">SUM(E7:E41)</f>
        <v>12.4</v>
      </c>
      <c r="G4" s="7" t="s">
        <v>6</v>
      </c>
    </row>
    <row r="6" customFormat="false" ht="19.5" hidden="false" customHeight="true" outlineLevel="0" collapsed="false">
      <c r="A6" s="9" t="s">
        <v>7</v>
      </c>
      <c r="B6" s="9" t="s">
        <v>8</v>
      </c>
      <c r="C6" s="10" t="s">
        <v>9</v>
      </c>
      <c r="D6" s="10" t="s">
        <v>10</v>
      </c>
      <c r="E6" s="9" t="s">
        <v>11</v>
      </c>
      <c r="F6" s="9" t="s">
        <v>12</v>
      </c>
      <c r="G6" s="10" t="s">
        <v>13</v>
      </c>
    </row>
    <row r="7" customFormat="false" ht="30" hidden="false" customHeight="true" outlineLevel="0" collapsed="false">
      <c r="A7" s="11" t="s">
        <v>14</v>
      </c>
      <c r="B7" s="12" t="n">
        <v>1</v>
      </c>
      <c r="C7" s="13" t="s">
        <v>15</v>
      </c>
      <c r="D7" s="14" t="s">
        <v>16</v>
      </c>
      <c r="E7" s="15" t="n">
        <v>0.25</v>
      </c>
      <c r="F7" s="12" t="s">
        <v>17</v>
      </c>
      <c r="G7" s="14" t="s">
        <v>18</v>
      </c>
    </row>
    <row r="8" customFormat="false" ht="30" hidden="false" customHeight="true" outlineLevel="0" collapsed="false">
      <c r="A8" s="11"/>
      <c r="B8" s="12" t="n">
        <v>2</v>
      </c>
      <c r="C8" s="13" t="s">
        <v>19</v>
      </c>
      <c r="D8" s="14" t="s">
        <v>20</v>
      </c>
      <c r="E8" s="15" t="n">
        <v>0.25</v>
      </c>
      <c r="F8" s="12" t="s">
        <v>17</v>
      </c>
      <c r="G8" s="14" t="s">
        <v>21</v>
      </c>
    </row>
    <row r="9" customFormat="false" ht="30" hidden="false" customHeight="true" outlineLevel="0" collapsed="false">
      <c r="A9" s="11"/>
      <c r="B9" s="12" t="n">
        <v>3</v>
      </c>
      <c r="C9" s="13" t="s">
        <v>22</v>
      </c>
      <c r="D9" s="14" t="s">
        <v>23</v>
      </c>
      <c r="E9" s="15" t="n">
        <v>0.1</v>
      </c>
      <c r="F9" s="12" t="s">
        <v>17</v>
      </c>
      <c r="G9" s="14"/>
    </row>
    <row r="10" customFormat="false" ht="30" hidden="false" customHeight="true" outlineLevel="0" collapsed="false">
      <c r="A10" s="11"/>
      <c r="B10" s="12" t="n">
        <v>4</v>
      </c>
      <c r="C10" s="13" t="s">
        <v>24</v>
      </c>
      <c r="D10" s="14" t="s">
        <v>25</v>
      </c>
      <c r="E10" s="15" t="n">
        <v>0.25</v>
      </c>
      <c r="F10" s="12" t="s">
        <v>17</v>
      </c>
      <c r="G10" s="14" t="s">
        <v>26</v>
      </c>
    </row>
    <row r="11" customFormat="false" ht="30" hidden="false" customHeight="true" outlineLevel="0" collapsed="false">
      <c r="A11" s="11"/>
      <c r="B11" s="12" t="n">
        <v>5</v>
      </c>
      <c r="C11" s="13" t="s">
        <v>27</v>
      </c>
      <c r="D11" s="14" t="s">
        <v>28</v>
      </c>
      <c r="E11" s="15" t="n">
        <v>0.1</v>
      </c>
      <c r="F11" s="12" t="s">
        <v>17</v>
      </c>
      <c r="G11" s="14"/>
    </row>
    <row r="12" customFormat="false" ht="30" hidden="false" customHeight="true" outlineLevel="0" collapsed="false">
      <c r="A12" s="11"/>
      <c r="B12" s="12" t="n">
        <v>6</v>
      </c>
      <c r="C12" s="13" t="s">
        <v>29</v>
      </c>
      <c r="D12" s="14" t="s">
        <v>30</v>
      </c>
      <c r="E12" s="15" t="n">
        <v>0.1</v>
      </c>
      <c r="F12" s="12" t="s">
        <v>17</v>
      </c>
      <c r="G12" s="14"/>
    </row>
    <row r="13" customFormat="false" ht="30" hidden="false" customHeight="true" outlineLevel="0" collapsed="false">
      <c r="A13" s="11"/>
      <c r="B13" s="12" t="n">
        <v>7</v>
      </c>
      <c r="C13" s="13" t="s">
        <v>31</v>
      </c>
      <c r="D13" s="14" t="s">
        <v>32</v>
      </c>
      <c r="E13" s="15" t="n">
        <v>0.25</v>
      </c>
      <c r="F13" s="12" t="s">
        <v>17</v>
      </c>
      <c r="G13" s="14"/>
    </row>
    <row r="14" customFormat="false" ht="30" hidden="false" customHeight="true" outlineLevel="0" collapsed="false">
      <c r="A14" s="11"/>
      <c r="B14" s="12" t="n">
        <v>8</v>
      </c>
      <c r="C14" s="13" t="s">
        <v>33</v>
      </c>
      <c r="D14" s="14" t="s">
        <v>34</v>
      </c>
      <c r="E14" s="15" t="n">
        <v>0.25</v>
      </c>
      <c r="F14" s="12" t="s">
        <v>17</v>
      </c>
      <c r="G14" s="14"/>
    </row>
    <row r="15" customFormat="false" ht="30" hidden="false" customHeight="true" outlineLevel="0" collapsed="false">
      <c r="A15" s="11"/>
      <c r="B15" s="12" t="n">
        <v>9</v>
      </c>
      <c r="C15" s="13" t="s">
        <v>35</v>
      </c>
      <c r="D15" s="14" t="s">
        <v>20</v>
      </c>
      <c r="E15" s="15" t="n">
        <v>0.25</v>
      </c>
      <c r="F15" s="12" t="s">
        <v>17</v>
      </c>
      <c r="G15" s="14" t="s">
        <v>36</v>
      </c>
    </row>
    <row r="16" customFormat="false" ht="30" hidden="false" customHeight="true" outlineLevel="0" collapsed="false">
      <c r="A16" s="11"/>
      <c r="B16" s="12" t="n">
        <v>10</v>
      </c>
      <c r="C16" s="13" t="s">
        <v>37</v>
      </c>
      <c r="D16" s="14" t="s">
        <v>38</v>
      </c>
      <c r="E16" s="15" t="n">
        <v>0.15</v>
      </c>
      <c r="F16" s="12" t="s">
        <v>17</v>
      </c>
      <c r="G16" s="14" t="s">
        <v>39</v>
      </c>
    </row>
    <row r="17" customFormat="false" ht="30" hidden="false" customHeight="true" outlineLevel="0" collapsed="false">
      <c r="A17" s="11"/>
      <c r="B17" s="12" t="n">
        <v>11</v>
      </c>
      <c r="C17" s="13" t="s">
        <v>40</v>
      </c>
      <c r="D17" s="14" t="s">
        <v>41</v>
      </c>
      <c r="E17" s="15" t="n">
        <v>0.1</v>
      </c>
      <c r="F17" s="12" t="s">
        <v>17</v>
      </c>
      <c r="G17" s="14"/>
    </row>
    <row r="18" customFormat="false" ht="30" hidden="false" customHeight="true" outlineLevel="0" collapsed="false">
      <c r="A18" s="11"/>
      <c r="B18" s="12" t="n">
        <v>12</v>
      </c>
      <c r="C18" s="13" t="s">
        <v>42</v>
      </c>
      <c r="D18" s="14" t="s">
        <v>43</v>
      </c>
      <c r="E18" s="15" t="n">
        <v>0.1</v>
      </c>
      <c r="F18" s="12" t="s">
        <v>17</v>
      </c>
      <c r="G18" s="14"/>
    </row>
    <row r="19" customFormat="false" ht="30" hidden="false" customHeight="true" outlineLevel="0" collapsed="false">
      <c r="A19" s="11"/>
      <c r="B19" s="12" t="n">
        <v>13</v>
      </c>
      <c r="C19" s="13" t="s">
        <v>44</v>
      </c>
      <c r="D19" s="14" t="s">
        <v>45</v>
      </c>
      <c r="E19" s="15" t="n">
        <v>0.25</v>
      </c>
      <c r="F19" s="12" t="s">
        <v>17</v>
      </c>
      <c r="G19" s="14"/>
    </row>
    <row r="20" customFormat="false" ht="30" hidden="false" customHeight="true" outlineLevel="0" collapsed="false">
      <c r="A20" s="11"/>
      <c r="B20" s="12" t="n">
        <v>14</v>
      </c>
      <c r="C20" s="13" t="s">
        <v>46</v>
      </c>
      <c r="D20" s="14" t="s">
        <v>47</v>
      </c>
      <c r="E20" s="15" t="n">
        <v>0.15</v>
      </c>
      <c r="F20" s="12" t="s">
        <v>17</v>
      </c>
      <c r="G20" s="14"/>
    </row>
    <row r="21" customFormat="false" ht="30" hidden="false" customHeight="true" outlineLevel="0" collapsed="false">
      <c r="A21" s="11"/>
      <c r="B21" s="12" t="n">
        <v>15</v>
      </c>
      <c r="C21" s="13" t="s">
        <v>48</v>
      </c>
      <c r="D21" s="14" t="s">
        <v>49</v>
      </c>
      <c r="E21" s="15" t="n">
        <v>0.15</v>
      </c>
      <c r="F21" s="12" t="s">
        <v>17</v>
      </c>
      <c r="G21" s="14" t="s">
        <v>50</v>
      </c>
    </row>
    <row r="22" customFormat="false" ht="30" hidden="false" customHeight="true" outlineLevel="0" collapsed="false">
      <c r="A22" s="11"/>
      <c r="B22" s="12" t="n">
        <v>16</v>
      </c>
      <c r="C22" s="13" t="s">
        <v>51</v>
      </c>
      <c r="D22" s="14" t="s">
        <v>52</v>
      </c>
      <c r="E22" s="15" t="n">
        <v>0.3</v>
      </c>
      <c r="F22" s="12" t="s">
        <v>17</v>
      </c>
      <c r="G22" s="14"/>
    </row>
    <row r="23" customFormat="false" ht="30" hidden="false" customHeight="true" outlineLevel="0" collapsed="false">
      <c r="A23" s="16" t="s">
        <v>53</v>
      </c>
      <c r="B23" s="17" t="n">
        <v>17</v>
      </c>
      <c r="C23" s="18" t="s">
        <v>54</v>
      </c>
      <c r="D23" s="19" t="s">
        <v>55</v>
      </c>
      <c r="E23" s="20" t="n">
        <v>0.5</v>
      </c>
      <c r="F23" s="17" t="s">
        <v>17</v>
      </c>
      <c r="G23" s="19"/>
    </row>
    <row r="24" customFormat="false" ht="30" hidden="false" customHeight="true" outlineLevel="0" collapsed="false">
      <c r="A24" s="16"/>
      <c r="B24" s="17" t="n">
        <v>18</v>
      </c>
      <c r="C24" s="18" t="s">
        <v>56</v>
      </c>
      <c r="D24" s="19" t="s">
        <v>57</v>
      </c>
      <c r="E24" s="20" t="n">
        <v>0.5</v>
      </c>
      <c r="F24" s="17" t="s">
        <v>17</v>
      </c>
      <c r="G24" s="19"/>
    </row>
    <row r="25" customFormat="false" ht="30" hidden="false" customHeight="true" outlineLevel="0" collapsed="false">
      <c r="A25" s="16"/>
      <c r="B25" s="17" t="n">
        <v>19</v>
      </c>
      <c r="C25" s="18" t="s">
        <v>58</v>
      </c>
      <c r="D25" s="19" t="s">
        <v>59</v>
      </c>
      <c r="E25" s="20" t="n">
        <v>0.5</v>
      </c>
      <c r="F25" s="17" t="s">
        <v>17</v>
      </c>
      <c r="G25" s="19" t="s">
        <v>60</v>
      </c>
    </row>
    <row r="26" customFormat="false" ht="30" hidden="false" customHeight="true" outlineLevel="0" collapsed="false">
      <c r="A26" s="16"/>
      <c r="B26" s="17" t="n">
        <v>20</v>
      </c>
      <c r="C26" s="18" t="s">
        <v>61</v>
      </c>
      <c r="D26" s="19" t="s">
        <v>62</v>
      </c>
      <c r="E26" s="20" t="n">
        <v>0.25</v>
      </c>
      <c r="F26" s="17" t="s">
        <v>17</v>
      </c>
      <c r="G26" s="19"/>
    </row>
    <row r="27" customFormat="false" ht="30" hidden="false" customHeight="true" outlineLevel="0" collapsed="false">
      <c r="A27" s="16"/>
      <c r="B27" s="17" t="n">
        <v>21</v>
      </c>
      <c r="C27" s="18" t="s">
        <v>63</v>
      </c>
      <c r="D27" s="19" t="s">
        <v>64</v>
      </c>
      <c r="E27" s="20" t="n">
        <v>0.25</v>
      </c>
      <c r="F27" s="17" t="s">
        <v>17</v>
      </c>
      <c r="G27" s="19"/>
    </row>
    <row r="28" customFormat="false" ht="30" hidden="false" customHeight="true" outlineLevel="0" collapsed="false">
      <c r="A28" s="16"/>
      <c r="B28" s="17" t="n">
        <v>22</v>
      </c>
      <c r="C28" s="18" t="s">
        <v>65</v>
      </c>
      <c r="D28" s="19" t="s">
        <v>66</v>
      </c>
      <c r="E28" s="20" t="n">
        <v>0.5</v>
      </c>
      <c r="F28" s="17" t="s">
        <v>17</v>
      </c>
      <c r="G28" s="19"/>
    </row>
    <row r="29" customFormat="false" ht="30" hidden="false" customHeight="true" outlineLevel="0" collapsed="false">
      <c r="A29" s="16"/>
      <c r="B29" s="17" t="n">
        <v>23</v>
      </c>
      <c r="C29" s="18" t="s">
        <v>67</v>
      </c>
      <c r="D29" s="19" t="s">
        <v>68</v>
      </c>
      <c r="E29" s="20" t="n">
        <v>0.25</v>
      </c>
      <c r="F29" s="17" t="s">
        <v>17</v>
      </c>
      <c r="G29" s="19"/>
    </row>
    <row r="30" customFormat="false" ht="30" hidden="false" customHeight="true" outlineLevel="0" collapsed="false">
      <c r="A30" s="16"/>
      <c r="B30" s="17" t="n">
        <v>24</v>
      </c>
      <c r="C30" s="18" t="s">
        <v>69</v>
      </c>
      <c r="D30" s="19" t="s">
        <v>70</v>
      </c>
      <c r="E30" s="20" t="n">
        <v>0.5</v>
      </c>
      <c r="F30" s="17" t="s">
        <v>17</v>
      </c>
      <c r="G30" s="19"/>
    </row>
    <row r="31" customFormat="false" ht="30" hidden="false" customHeight="true" outlineLevel="0" collapsed="false">
      <c r="A31" s="21" t="s">
        <v>71</v>
      </c>
      <c r="B31" s="22" t="n">
        <v>25</v>
      </c>
      <c r="C31" s="23" t="s">
        <v>72</v>
      </c>
      <c r="D31" s="24" t="s">
        <v>73</v>
      </c>
      <c r="E31" s="25" t="n">
        <v>0.5</v>
      </c>
      <c r="F31" s="22" t="s">
        <v>17</v>
      </c>
      <c r="G31" s="24"/>
    </row>
    <row r="32" customFormat="false" ht="30" hidden="false" customHeight="true" outlineLevel="0" collapsed="false">
      <c r="A32" s="21"/>
      <c r="B32" s="22" t="n">
        <v>26</v>
      </c>
      <c r="C32" s="23" t="s">
        <v>74</v>
      </c>
      <c r="D32" s="24" t="s">
        <v>75</v>
      </c>
      <c r="E32" s="25" t="n">
        <v>1</v>
      </c>
      <c r="F32" s="22" t="s">
        <v>17</v>
      </c>
      <c r="G32" s="24" t="s">
        <v>76</v>
      </c>
    </row>
    <row r="33" customFormat="false" ht="30" hidden="false" customHeight="true" outlineLevel="0" collapsed="false">
      <c r="A33" s="21"/>
      <c r="B33" s="22" t="n">
        <v>27</v>
      </c>
      <c r="C33" s="23" t="s">
        <v>77</v>
      </c>
      <c r="D33" s="24" t="s">
        <v>78</v>
      </c>
      <c r="E33" s="25" t="n">
        <v>0.25</v>
      </c>
      <c r="F33" s="22" t="s">
        <v>17</v>
      </c>
      <c r="G33" s="24"/>
    </row>
    <row r="34" customFormat="false" ht="30" hidden="false" customHeight="true" outlineLevel="0" collapsed="false">
      <c r="A34" s="21"/>
      <c r="B34" s="22" t="n">
        <v>28</v>
      </c>
      <c r="C34" s="23" t="s">
        <v>79</v>
      </c>
      <c r="D34" s="24" t="s">
        <v>80</v>
      </c>
      <c r="E34" s="25" t="n">
        <v>0.75</v>
      </c>
      <c r="F34" s="22" t="s">
        <v>17</v>
      </c>
      <c r="G34" s="24"/>
    </row>
    <row r="35" customFormat="false" ht="30" hidden="false" customHeight="true" outlineLevel="0" collapsed="false">
      <c r="A35" s="21"/>
      <c r="B35" s="22" t="n">
        <v>29</v>
      </c>
      <c r="C35" s="23" t="s">
        <v>81</v>
      </c>
      <c r="D35" s="24" t="s">
        <v>82</v>
      </c>
      <c r="E35" s="25" t="n">
        <v>0.5</v>
      </c>
      <c r="F35" s="22" t="s">
        <v>17</v>
      </c>
      <c r="G35" s="24"/>
    </row>
    <row r="36" customFormat="false" ht="30" hidden="false" customHeight="true" outlineLevel="0" collapsed="false">
      <c r="A36" s="21"/>
      <c r="B36" s="22" t="n">
        <v>30</v>
      </c>
      <c r="C36" s="23" t="s">
        <v>83</v>
      </c>
      <c r="D36" s="24" t="s">
        <v>84</v>
      </c>
      <c r="E36" s="25" t="n">
        <v>0.75</v>
      </c>
      <c r="F36" s="22" t="s">
        <v>17</v>
      </c>
      <c r="G36" s="24"/>
    </row>
    <row r="37" customFormat="false" ht="30" hidden="false" customHeight="true" outlineLevel="0" collapsed="false">
      <c r="A37" s="26" t="s">
        <v>85</v>
      </c>
      <c r="B37" s="27" t="n">
        <v>31</v>
      </c>
      <c r="C37" s="28" t="s">
        <v>86</v>
      </c>
      <c r="D37" s="29" t="s">
        <v>87</v>
      </c>
      <c r="E37" s="30" t="n">
        <v>0.75</v>
      </c>
      <c r="F37" s="27" t="s">
        <v>88</v>
      </c>
      <c r="G37" s="29"/>
    </row>
    <row r="38" customFormat="false" ht="30" hidden="false" customHeight="true" outlineLevel="0" collapsed="false">
      <c r="A38" s="26"/>
      <c r="B38" s="27" t="n">
        <v>32</v>
      </c>
      <c r="C38" s="28" t="s">
        <v>89</v>
      </c>
      <c r="D38" s="29" t="s">
        <v>90</v>
      </c>
      <c r="E38" s="30" t="n">
        <v>0.25</v>
      </c>
      <c r="F38" s="27" t="s">
        <v>88</v>
      </c>
      <c r="G38" s="29"/>
    </row>
    <row r="39" customFormat="false" ht="30" hidden="false" customHeight="true" outlineLevel="0" collapsed="false">
      <c r="A39" s="26"/>
      <c r="B39" s="27" t="n">
        <v>33</v>
      </c>
      <c r="C39" s="28" t="s">
        <v>91</v>
      </c>
      <c r="D39" s="29" t="s">
        <v>92</v>
      </c>
      <c r="E39" s="30" t="n">
        <v>0.15</v>
      </c>
      <c r="F39" s="27" t="s">
        <v>88</v>
      </c>
      <c r="G39" s="29"/>
    </row>
    <row r="40" customFormat="false" ht="30" hidden="false" customHeight="true" outlineLevel="0" collapsed="false">
      <c r="A40" s="26"/>
      <c r="B40" s="27" t="n">
        <v>34</v>
      </c>
      <c r="C40" s="28" t="s">
        <v>93</v>
      </c>
      <c r="D40" s="29" t="s">
        <v>94</v>
      </c>
      <c r="E40" s="30" t="n">
        <v>0.5</v>
      </c>
      <c r="F40" s="27" t="s">
        <v>88</v>
      </c>
      <c r="G40" s="29"/>
    </row>
    <row r="41" customFormat="false" ht="30" hidden="false" customHeight="true" outlineLevel="0" collapsed="false">
      <c r="A41" s="26"/>
      <c r="B41" s="27" t="n">
        <v>35</v>
      </c>
      <c r="C41" s="28" t="s">
        <v>95</v>
      </c>
      <c r="D41" s="29" t="s">
        <v>96</v>
      </c>
      <c r="E41" s="30" t="n">
        <v>0.75</v>
      </c>
      <c r="F41" s="27" t="s">
        <v>88</v>
      </c>
      <c r="G41" s="29"/>
    </row>
  </sheetData>
  <mergeCells count="7">
    <mergeCell ref="A1:G1"/>
    <mergeCell ref="A2:G2"/>
    <mergeCell ref="A3:G3"/>
    <mergeCell ref="A7:A22"/>
    <mergeCell ref="A23:A30"/>
    <mergeCell ref="A31:A36"/>
    <mergeCell ref="A37:A41"/>
  </mergeCells>
  <conditionalFormatting sqref="A7:G41">
    <cfRule type="expression" priority="2" aboveAverage="0" equalAverage="0" bottom="0" percent="0" rank="0" text="" dxfId="0">
      <formula>$F7="Yes"</formula>
    </cfRule>
  </conditionalFormatting>
  <dataValidations count="1">
    <dataValidation allowBlank="true" errorStyle="stop" operator="between" showDropDown="false" showErrorMessage="false" showInputMessage="false" sqref="F7:F41" type="list">
      <formula1>"Yes,No"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2026-09-13T13:00:16Z</dcterms:created>
  <dc:creator>openpyxl</dc:creator>
  <dc:description/>
  <dc:language>en-US</dc:language>
  <cp:lastModifiedBy>michael stephenson</cp:lastModifiedBy>
  <cp:lastPrinted>2026-09-13T14:02:37Z</cp:lastPrinted>
  <dcterms:modified xsi:type="dcterms:W3CDTF">2026-10-04T14:26:21Z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